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loni/Desktop/Lab in Psych/Solo Project/"/>
    </mc:Choice>
  </mc:AlternateContent>
  <xr:revisionPtr revIDLastSave="0" documentId="13_ncr:1_{5979B6BA-B4A2-224F-9443-F8C22B88B880}" xr6:coauthVersionLast="47" xr6:coauthVersionMax="47" xr10:uidLastSave="{00000000-0000-0000-0000-000000000000}"/>
  <bookViews>
    <workbookView xWindow="0" yWindow="620" windowWidth="28800" windowHeight="16080" xr2:uid="{A3DFD7F4-7AE3-FC45-AA64-A31AE94AC9D5}"/>
  </bookViews>
  <sheets>
    <sheet name="Individual Participant Data" sheetId="1" r:id="rId1"/>
    <sheet name="t-te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E14" i="1"/>
  <c r="E13" i="1"/>
  <c r="E12" i="1"/>
  <c r="E16" i="1" s="1"/>
  <c r="E3" i="1"/>
  <c r="E4" i="1"/>
  <c r="E5" i="1"/>
  <c r="E6" i="1"/>
  <c r="E7" i="1"/>
  <c r="E8" i="1"/>
  <c r="E9" i="1"/>
  <c r="E10" i="1"/>
  <c r="E11" i="1"/>
  <c r="E2" i="1"/>
  <c r="C13" i="1"/>
  <c r="B13" i="1"/>
  <c r="C12" i="1"/>
  <c r="C14" i="1" s="1"/>
  <c r="B12" i="1"/>
  <c r="B14" i="1" s="1"/>
</calcChain>
</file>

<file path=xl/sharedStrings.xml><?xml version="1.0" encoding="utf-8"?>
<sst xmlns="http://schemas.openxmlformats.org/spreadsheetml/2006/main" count="32" uniqueCount="30">
  <si>
    <t xml:space="preserve">Particiapnt </t>
  </si>
  <si>
    <t>Neutral Recall</t>
  </si>
  <si>
    <t>High Arousal Recall</t>
  </si>
  <si>
    <t xml:space="preserve">False Alarm </t>
  </si>
  <si>
    <t>paper</t>
  </si>
  <si>
    <t>do</t>
  </si>
  <si>
    <t>book, f</t>
  </si>
  <si>
    <t>clock</t>
  </si>
  <si>
    <t>mobile</t>
  </si>
  <si>
    <t>Mean</t>
  </si>
  <si>
    <t>SD</t>
  </si>
  <si>
    <t>Proportion Recalled</t>
  </si>
  <si>
    <t>Difference Score</t>
  </si>
  <si>
    <t>difference SD</t>
  </si>
  <si>
    <t>difference mean</t>
  </si>
  <si>
    <t>t-test</t>
  </si>
  <si>
    <t>df</t>
  </si>
  <si>
    <t>cohen's d</t>
  </si>
  <si>
    <t>t-Test: Paired Two Sample for Means</t>
  </si>
  <si>
    <t>Variable 1</t>
  </si>
  <si>
    <t>Variable 2</t>
  </si>
  <si>
    <t>Variance</t>
  </si>
  <si>
    <t>Observations</t>
  </si>
  <si>
    <t>Pearson Correlation</t>
  </si>
  <si>
    <t>Hypothesized Mean Difference</t>
  </si>
  <si>
    <t>t Stat</t>
  </si>
  <si>
    <t>P(T&lt;=t) one-tail</t>
  </si>
  <si>
    <t>t Critical one-tail</t>
  </si>
  <si>
    <t>P(T&lt;=t) two-tail</t>
  </si>
  <si>
    <t>t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</si>
</sst>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E80F6-78F5-BD4C-8385-241E689DB9AE}">
  <dimension ref="A1:F16"/>
  <sheetViews>
    <sheetView tabSelected="1" workbookViewId="0">
      <selection activeCell="H23" sqref="H23"/>
    </sheetView>
  </sheetViews>
  <sheetFormatPr baseColWidth="10" defaultRowHeight="16" x14ac:dyDescent="0.2"/>
  <cols>
    <col min="1" max="1" width="10.5" bestFit="1" customWidth="1"/>
    <col min="2" max="2" width="12.83203125" bestFit="1" customWidth="1"/>
    <col min="3" max="3" width="17.1640625" bestFit="1" customWidth="1"/>
    <col min="4" max="4" width="17.33203125" bestFit="1" customWidth="1"/>
    <col min="5" max="6" width="14.6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12</v>
      </c>
    </row>
    <row r="2" spans="1:6" x14ac:dyDescent="0.2">
      <c r="A2">
        <v>1</v>
      </c>
      <c r="B2">
        <v>6</v>
      </c>
      <c r="C2">
        <v>2</v>
      </c>
      <c r="E2">
        <f>B2-C2</f>
        <v>4</v>
      </c>
    </row>
    <row r="3" spans="1:6" x14ac:dyDescent="0.2">
      <c r="A3">
        <v>2</v>
      </c>
      <c r="B3">
        <v>5</v>
      </c>
      <c r="C3">
        <v>5</v>
      </c>
      <c r="D3" t="s">
        <v>4</v>
      </c>
      <c r="E3">
        <f t="shared" ref="E3:E11" si="0">B3-C3</f>
        <v>0</v>
      </c>
    </row>
    <row r="4" spans="1:6" x14ac:dyDescent="0.2">
      <c r="A4">
        <v>3</v>
      </c>
      <c r="B4">
        <v>10</v>
      </c>
      <c r="C4">
        <v>5</v>
      </c>
      <c r="D4" t="s">
        <v>5</v>
      </c>
      <c r="E4">
        <f t="shared" si="0"/>
        <v>5</v>
      </c>
    </row>
    <row r="5" spans="1:6" x14ac:dyDescent="0.2">
      <c r="A5">
        <v>4</v>
      </c>
      <c r="B5">
        <v>7</v>
      </c>
      <c r="C5">
        <v>5</v>
      </c>
      <c r="D5" t="s">
        <v>6</v>
      </c>
      <c r="E5">
        <f t="shared" si="0"/>
        <v>2</v>
      </c>
    </row>
    <row r="6" spans="1:6" x14ac:dyDescent="0.2">
      <c r="A6">
        <v>5</v>
      </c>
      <c r="B6">
        <v>8</v>
      </c>
      <c r="C6">
        <v>5</v>
      </c>
      <c r="E6">
        <f t="shared" si="0"/>
        <v>3</v>
      </c>
    </row>
    <row r="7" spans="1:6" x14ac:dyDescent="0.2">
      <c r="A7">
        <v>6</v>
      </c>
      <c r="B7">
        <v>8</v>
      </c>
      <c r="C7">
        <v>6</v>
      </c>
      <c r="D7" t="s">
        <v>7</v>
      </c>
      <c r="E7">
        <f t="shared" si="0"/>
        <v>2</v>
      </c>
    </row>
    <row r="8" spans="1:6" x14ac:dyDescent="0.2">
      <c r="A8">
        <v>7</v>
      </c>
      <c r="B8">
        <v>4</v>
      </c>
      <c r="C8">
        <v>5</v>
      </c>
      <c r="E8">
        <f t="shared" si="0"/>
        <v>-1</v>
      </c>
    </row>
    <row r="9" spans="1:6" x14ac:dyDescent="0.2">
      <c r="A9">
        <v>8</v>
      </c>
      <c r="B9">
        <v>6</v>
      </c>
      <c r="C9">
        <v>5</v>
      </c>
      <c r="D9" t="s">
        <v>8</v>
      </c>
      <c r="E9">
        <f t="shared" si="0"/>
        <v>1</v>
      </c>
    </row>
    <row r="10" spans="1:6" x14ac:dyDescent="0.2">
      <c r="A10">
        <v>9</v>
      </c>
      <c r="B10">
        <v>7</v>
      </c>
      <c r="C10">
        <v>7</v>
      </c>
      <c r="E10">
        <f t="shared" si="0"/>
        <v>0</v>
      </c>
    </row>
    <row r="11" spans="1:6" x14ac:dyDescent="0.2">
      <c r="A11">
        <v>10</v>
      </c>
      <c r="B11">
        <v>12</v>
      </c>
      <c r="C11">
        <v>5</v>
      </c>
      <c r="E11">
        <f t="shared" si="0"/>
        <v>7</v>
      </c>
    </row>
    <row r="12" spans="1:6" x14ac:dyDescent="0.2">
      <c r="B12" s="1">
        <f>AVERAGE(B2:B11)</f>
        <v>7.3</v>
      </c>
      <c r="C12" s="1">
        <f>AVERAGE(C2:C11)</f>
        <v>5</v>
      </c>
      <c r="D12" s="1" t="s">
        <v>9</v>
      </c>
      <c r="E12" s="1">
        <f>AVERAGE(E2:E11)</f>
        <v>2.2999999999999998</v>
      </c>
      <c r="F12" s="1" t="s">
        <v>14</v>
      </c>
    </row>
    <row r="13" spans="1:6" x14ac:dyDescent="0.2">
      <c r="B13" s="1">
        <f>STDEV(B2:B12)</f>
        <v>2.2383029285599396</v>
      </c>
      <c r="C13" s="1">
        <f>STDEV(C2:C11)</f>
        <v>1.247219128924647</v>
      </c>
      <c r="D13" s="1" t="s">
        <v>10</v>
      </c>
      <c r="E13" s="1">
        <f>_xlfn.STDEV.S(E2:E11)</f>
        <v>2.496664441476534</v>
      </c>
      <c r="F13" s="1" t="s">
        <v>13</v>
      </c>
    </row>
    <row r="14" spans="1:6" x14ac:dyDescent="0.2">
      <c r="B14" s="1">
        <f>(B12/15)*100</f>
        <v>48.666666666666664</v>
      </c>
      <c r="C14" s="1">
        <f>(C12/15)*100</f>
        <v>33.333333333333329</v>
      </c>
      <c r="D14" s="1" t="s">
        <v>11</v>
      </c>
      <c r="E14" s="1">
        <f>_xlfn.T.TEST(B2:B11,C2:C11,2,1)</f>
        <v>1.722182196947793E-2</v>
      </c>
      <c r="F14" s="1" t="s">
        <v>15</v>
      </c>
    </row>
    <row r="15" spans="1:6" x14ac:dyDescent="0.2">
      <c r="E15" s="1">
        <f>10-1</f>
        <v>9</v>
      </c>
      <c r="F15" s="1" t="s">
        <v>16</v>
      </c>
    </row>
    <row r="16" spans="1:6" x14ac:dyDescent="0.2">
      <c r="E16" s="1">
        <f>E12/E13</f>
        <v>0.92122912546460334</v>
      </c>
      <c r="F16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DAA38-11E0-6349-A793-304179149431}">
  <dimension ref="A1:C14"/>
  <sheetViews>
    <sheetView workbookViewId="0">
      <selection activeCell="B34" sqref="B34"/>
    </sheetView>
  </sheetViews>
  <sheetFormatPr baseColWidth="10" defaultRowHeight="16" x14ac:dyDescent="0.2"/>
  <cols>
    <col min="1" max="1" width="32.33203125" bestFit="1" customWidth="1"/>
    <col min="2" max="3" width="12.1640625" bestFit="1" customWidth="1"/>
  </cols>
  <sheetData>
    <row r="1" spans="1:3" x14ac:dyDescent="0.2">
      <c r="A1" t="s">
        <v>18</v>
      </c>
    </row>
    <row r="2" spans="1:3" ht="17" thickBot="1" x14ac:dyDescent="0.25"/>
    <row r="3" spans="1:3" x14ac:dyDescent="0.2">
      <c r="A3" s="3"/>
      <c r="B3" s="3" t="s">
        <v>19</v>
      </c>
      <c r="C3" s="3" t="s">
        <v>20</v>
      </c>
    </row>
    <row r="4" spans="1:3" x14ac:dyDescent="0.2">
      <c r="A4" t="s">
        <v>9</v>
      </c>
      <c r="B4">
        <v>7.3</v>
      </c>
      <c r="C4">
        <v>5</v>
      </c>
    </row>
    <row r="5" spans="1:3" x14ac:dyDescent="0.2">
      <c r="A5" t="s">
        <v>21</v>
      </c>
      <c r="B5">
        <v>5.5666666666666691</v>
      </c>
      <c r="C5">
        <v>1.5555555555555556</v>
      </c>
    </row>
    <row r="6" spans="1:3" x14ac:dyDescent="0.2">
      <c r="A6" t="s">
        <v>22</v>
      </c>
      <c r="B6">
        <v>10</v>
      </c>
      <c r="C6">
        <v>10</v>
      </c>
    </row>
    <row r="7" spans="1:3" x14ac:dyDescent="0.2">
      <c r="A7" t="s">
        <v>23</v>
      </c>
      <c r="B7">
        <v>0.15103482981586677</v>
      </c>
    </row>
    <row r="8" spans="1:3" x14ac:dyDescent="0.2">
      <c r="A8" t="s">
        <v>24</v>
      </c>
      <c r="B8">
        <v>0</v>
      </c>
    </row>
    <row r="9" spans="1:3" x14ac:dyDescent="0.2">
      <c r="A9" t="s">
        <v>16</v>
      </c>
      <c r="B9">
        <v>9</v>
      </c>
    </row>
    <row r="10" spans="1:3" x14ac:dyDescent="0.2">
      <c r="A10" t="s">
        <v>25</v>
      </c>
      <c r="B10">
        <v>2.9131822833531684</v>
      </c>
    </row>
    <row r="11" spans="1:3" x14ac:dyDescent="0.2">
      <c r="A11" t="s">
        <v>26</v>
      </c>
      <c r="B11">
        <v>8.6109109847389651E-3</v>
      </c>
    </row>
    <row r="12" spans="1:3" x14ac:dyDescent="0.2">
      <c r="A12" t="s">
        <v>27</v>
      </c>
      <c r="B12">
        <v>1.8331129326562374</v>
      </c>
    </row>
    <row r="13" spans="1:3" x14ac:dyDescent="0.2">
      <c r="A13" t="s">
        <v>28</v>
      </c>
      <c r="B13">
        <v>1.722182196947793E-2</v>
      </c>
    </row>
    <row r="14" spans="1:3" ht="17" thickBot="1" x14ac:dyDescent="0.25">
      <c r="A14" s="2" t="s">
        <v>29</v>
      </c>
      <c r="B14" s="2">
        <v>2.2621571627982053</v>
      </c>
      <c r="C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Individual Participant Data</vt:lpstr>
      <vt:lpstr>t-test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2025-11-23T06:41:33Z</dcterms:created>
  <dcterms:modified xsi:type="dcterms:W3CDTF">2025-11-23T18:20:38Z</dcterms:modified>
</cp:coreProperties>
</file>